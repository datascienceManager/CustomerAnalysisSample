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ention" sheetId="1" r:id="rId5"/>
  </sheets>
  <definedNames>
    <definedName hidden="1" localSheetId="0" name="_xlnm._FilterDatabase">retention!$A$1:$O$21</definedName>
  </definedNames>
  <calcPr/>
</workbook>
</file>

<file path=xl/sharedStrings.xml><?xml version="1.0" encoding="utf-8"?>
<sst xmlns="http://schemas.openxmlformats.org/spreadsheetml/2006/main" count="150" uniqueCount="44">
  <si>
    <t>CustomerID</t>
  </si>
  <si>
    <t>CusExtID</t>
  </si>
  <si>
    <t>Country</t>
  </si>
  <si>
    <t>Direct_Indirect</t>
  </si>
  <si>
    <t>Product_name</t>
  </si>
  <si>
    <t>Offer_period</t>
  </si>
  <si>
    <t>Subscription_ID</t>
  </si>
  <si>
    <t>Subscription_version</t>
  </si>
  <si>
    <t>Subscription_latest</t>
  </si>
  <si>
    <t>Subscription_status</t>
  </si>
  <si>
    <t>Subscription_type</t>
  </si>
  <si>
    <t>Subscription_start_date</t>
  </si>
  <si>
    <t>Expiry_date</t>
  </si>
  <si>
    <t>Subsc_Cal_date</t>
  </si>
  <si>
    <t>USA</t>
  </si>
  <si>
    <t>Direct</t>
  </si>
  <si>
    <t>XYZTotal</t>
  </si>
  <si>
    <t>monthly</t>
  </si>
  <si>
    <t>churned</t>
  </si>
  <si>
    <t>FootballSeasonal</t>
  </si>
  <si>
    <t>active</t>
  </si>
  <si>
    <t>new</t>
  </si>
  <si>
    <t>annual</t>
  </si>
  <si>
    <t>winback</t>
  </si>
  <si>
    <t>India</t>
  </si>
  <si>
    <t>Qatar</t>
  </si>
  <si>
    <t>4KTotal</t>
  </si>
  <si>
    <t>Kenya</t>
  </si>
  <si>
    <t>total_days    = 0</t>
  </si>
  <si>
    <t>current_start = 2023-11-13</t>
  </si>
  <si>
    <t>current_end   = 2023-12-21</t>
  </si>
  <si>
    <t>cust</t>
  </si>
  <si>
    <t>current_end = max(2023-12-21, 2023-12-21)</t>
  </si>
  <si>
    <t>df$start[3] &lt;= current_end</t>
  </si>
  <si>
    <t>2024-01-02 &lt;= 2023-12-21 → FALSE</t>
  </si>
  <si>
    <t>current_start = 2024-01-02</t>
  </si>
  <si>
    <t>current_end   = 2027-01-02</t>
  </si>
  <si>
    <t>current_end = max(2027-01-02, 2024-02-14)</t>
  </si>
  <si>
    <t>current_end = 2027-01-02</t>
  </si>
  <si>
    <t>current_end = max(2027-01-02, 2024-09-14)</t>
  </si>
  <si>
    <t>2025-12-26 &lt;= 2027-01-02 → TRUE</t>
  </si>
  <si>
    <t>total_days += (2027-01-02 - 2024-01-02)</t>
  </si>
  <si>
    <t>total_days = 38 + 1096</t>
  </si>
  <si>
    <t>total_days = 1134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</si>
</sst>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101.0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8889.0</v>
      </c>
      <c r="H2" s="1">
        <v>1.0</v>
      </c>
      <c r="I2" s="1">
        <v>0.0</v>
      </c>
      <c r="J2" s="1" t="s">
        <v>18</v>
      </c>
      <c r="K2" s="1" t="s">
        <v>18</v>
      </c>
      <c r="L2" s="2">
        <v>45675.0</v>
      </c>
      <c r="M2" s="2">
        <v>45706.0</v>
      </c>
      <c r="N2" s="2">
        <v>45706.0</v>
      </c>
      <c r="O2" s="3">
        <f t="shared" ref="O2:O21" si="1">M2-L2</f>
        <v>31</v>
      </c>
    </row>
    <row r="3">
      <c r="A3" s="1">
        <v>1.0</v>
      </c>
      <c r="B3" s="1">
        <v>101.0</v>
      </c>
      <c r="C3" s="1" t="s">
        <v>14</v>
      </c>
      <c r="D3" s="1" t="s">
        <v>15</v>
      </c>
      <c r="E3" s="1" t="s">
        <v>19</v>
      </c>
      <c r="F3" s="1" t="s">
        <v>17</v>
      </c>
      <c r="G3" s="1">
        <v>8889.0</v>
      </c>
      <c r="H3" s="1">
        <v>2.0</v>
      </c>
      <c r="I3" s="1">
        <v>1.0</v>
      </c>
      <c r="J3" s="1" t="s">
        <v>20</v>
      </c>
      <c r="K3" s="1" t="s">
        <v>21</v>
      </c>
      <c r="L3" s="2">
        <v>45675.0</v>
      </c>
      <c r="M3" s="2">
        <v>45706.0</v>
      </c>
      <c r="N3" s="2">
        <v>45675.0</v>
      </c>
      <c r="O3" s="3">
        <f t="shared" si="1"/>
        <v>31</v>
      </c>
    </row>
    <row r="4">
      <c r="A4" s="1">
        <v>1.0</v>
      </c>
      <c r="B4" s="1">
        <v>101.0</v>
      </c>
      <c r="C4" s="1" t="s">
        <v>14</v>
      </c>
      <c r="D4" s="1" t="s">
        <v>15</v>
      </c>
      <c r="E4" s="1" t="s">
        <v>16</v>
      </c>
      <c r="F4" s="1" t="s">
        <v>22</v>
      </c>
      <c r="G4" s="1">
        <v>2024.0</v>
      </c>
      <c r="H4" s="1">
        <v>1.0</v>
      </c>
      <c r="I4" s="1">
        <v>1.0</v>
      </c>
      <c r="J4" s="1" t="s">
        <v>20</v>
      </c>
      <c r="K4" s="1" t="s">
        <v>23</v>
      </c>
      <c r="L4" s="2">
        <v>45682.0</v>
      </c>
      <c r="M4" s="2">
        <v>46078.0</v>
      </c>
      <c r="N4" s="2">
        <v>45682.0</v>
      </c>
      <c r="O4" s="3">
        <f t="shared" si="1"/>
        <v>396</v>
      </c>
      <c r="P4" s="3">
        <f>M4-L2</f>
        <v>403</v>
      </c>
    </row>
    <row r="5">
      <c r="A5" s="1">
        <v>2.0</v>
      </c>
      <c r="B5" s="1">
        <v>102.0</v>
      </c>
      <c r="C5" s="1" t="s">
        <v>24</v>
      </c>
      <c r="D5" s="1" t="s">
        <v>15</v>
      </c>
      <c r="E5" s="1" t="s">
        <v>19</v>
      </c>
      <c r="F5" s="1" t="s">
        <v>22</v>
      </c>
      <c r="G5" s="1">
        <v>6752.0</v>
      </c>
      <c r="H5" s="1">
        <v>1.0</v>
      </c>
      <c r="I5" s="1">
        <v>1.0</v>
      </c>
      <c r="J5" s="1" t="s">
        <v>20</v>
      </c>
      <c r="K5" s="1" t="s">
        <v>21</v>
      </c>
      <c r="L5" s="2">
        <v>45706.0</v>
      </c>
      <c r="M5" s="2">
        <v>46071.0</v>
      </c>
      <c r="N5" s="2">
        <v>45706.0</v>
      </c>
      <c r="O5" s="3">
        <f t="shared" si="1"/>
        <v>365</v>
      </c>
    </row>
    <row r="6">
      <c r="A6" s="1">
        <v>2.0</v>
      </c>
      <c r="B6" s="1">
        <v>102.0</v>
      </c>
      <c r="C6" s="1" t="s">
        <v>25</v>
      </c>
      <c r="D6" s="1" t="s">
        <v>15</v>
      </c>
      <c r="E6" s="1" t="s">
        <v>26</v>
      </c>
      <c r="F6" s="1" t="s">
        <v>22</v>
      </c>
      <c r="G6" s="1">
        <v>1220.0</v>
      </c>
      <c r="H6" s="1">
        <v>1.0</v>
      </c>
      <c r="I6" s="1">
        <v>1.0</v>
      </c>
      <c r="J6" s="1" t="s">
        <v>20</v>
      </c>
      <c r="K6" s="1" t="s">
        <v>23</v>
      </c>
      <c r="L6" s="2">
        <v>45734.0</v>
      </c>
      <c r="M6" s="2">
        <v>46130.0</v>
      </c>
      <c r="N6" s="2">
        <v>45734.0</v>
      </c>
      <c r="O6" s="3">
        <f t="shared" si="1"/>
        <v>396</v>
      </c>
    </row>
    <row r="7">
      <c r="A7" s="1">
        <v>3.0</v>
      </c>
      <c r="B7" s="1">
        <v>103.0</v>
      </c>
      <c r="C7" s="1" t="s">
        <v>14</v>
      </c>
      <c r="D7" s="1" t="s">
        <v>15</v>
      </c>
      <c r="E7" s="1" t="s">
        <v>26</v>
      </c>
      <c r="F7" s="1" t="s">
        <v>17</v>
      </c>
      <c r="G7" s="1">
        <v>2390.0</v>
      </c>
      <c r="H7" s="1">
        <v>1.0</v>
      </c>
      <c r="I7" s="1">
        <v>0.0</v>
      </c>
      <c r="J7" s="1" t="s">
        <v>20</v>
      </c>
      <c r="K7" s="1" t="s">
        <v>21</v>
      </c>
      <c r="L7" s="2">
        <v>45716.0</v>
      </c>
      <c r="M7" s="2">
        <v>45744.0</v>
      </c>
      <c r="N7" s="2">
        <v>45716.0</v>
      </c>
      <c r="O7" s="3">
        <f t="shared" si="1"/>
        <v>28</v>
      </c>
    </row>
    <row r="8">
      <c r="A8" s="1">
        <v>3.0</v>
      </c>
      <c r="B8" s="1">
        <v>103.0</v>
      </c>
      <c r="C8" s="1" t="s">
        <v>14</v>
      </c>
      <c r="D8" s="1" t="s">
        <v>15</v>
      </c>
      <c r="E8" s="1" t="s">
        <v>26</v>
      </c>
      <c r="F8" s="1" t="s">
        <v>17</v>
      </c>
      <c r="G8" s="1">
        <v>2390.0</v>
      </c>
      <c r="H8" s="1">
        <v>2.0</v>
      </c>
      <c r="I8" s="1">
        <v>1.0</v>
      </c>
      <c r="J8" s="1" t="s">
        <v>18</v>
      </c>
      <c r="K8" s="1" t="s">
        <v>18</v>
      </c>
      <c r="L8" s="2">
        <v>45716.0</v>
      </c>
      <c r="M8" s="2">
        <v>45744.0</v>
      </c>
      <c r="N8" s="2">
        <v>45744.0</v>
      </c>
      <c r="O8" s="3">
        <f t="shared" si="1"/>
        <v>28</v>
      </c>
    </row>
    <row r="9">
      <c r="A9" s="1">
        <v>3.0</v>
      </c>
      <c r="B9" s="1">
        <v>103.0</v>
      </c>
      <c r="C9" s="1" t="s">
        <v>14</v>
      </c>
      <c r="D9" s="1" t="s">
        <v>15</v>
      </c>
      <c r="E9" s="1" t="s">
        <v>26</v>
      </c>
      <c r="F9" s="1" t="s">
        <v>17</v>
      </c>
      <c r="G9" s="1">
        <v>2450.0</v>
      </c>
      <c r="H9" s="1">
        <v>1.0</v>
      </c>
      <c r="I9" s="1">
        <v>1.0</v>
      </c>
      <c r="J9" s="1" t="s">
        <v>20</v>
      </c>
      <c r="K9" s="1" t="s">
        <v>23</v>
      </c>
      <c r="L9" s="2">
        <v>45734.0</v>
      </c>
      <c r="M9" s="2">
        <v>46130.0</v>
      </c>
      <c r="N9" s="2">
        <v>45734.0</v>
      </c>
      <c r="O9" s="3">
        <f t="shared" si="1"/>
        <v>396</v>
      </c>
    </row>
    <row r="10">
      <c r="A10" s="1">
        <v>3.0</v>
      </c>
      <c r="B10" s="1">
        <v>103.0</v>
      </c>
      <c r="C10" s="1" t="s">
        <v>14</v>
      </c>
      <c r="D10" s="1" t="s">
        <v>15</v>
      </c>
      <c r="E10" s="1" t="s">
        <v>26</v>
      </c>
      <c r="F10" s="1" t="s">
        <v>17</v>
      </c>
      <c r="G10" s="1">
        <v>2670.0</v>
      </c>
      <c r="H10" s="1">
        <v>1.0</v>
      </c>
      <c r="I10" s="1">
        <v>1.0</v>
      </c>
      <c r="J10" s="1" t="s">
        <v>20</v>
      </c>
      <c r="K10" s="1" t="s">
        <v>23</v>
      </c>
      <c r="L10" s="2">
        <v>45716.0</v>
      </c>
      <c r="M10" s="2">
        <v>45745.0</v>
      </c>
      <c r="N10" s="2">
        <v>45716.0</v>
      </c>
      <c r="O10" s="3">
        <f t="shared" si="1"/>
        <v>29</v>
      </c>
    </row>
    <row r="11">
      <c r="A11" s="1">
        <v>4.0</v>
      </c>
      <c r="B11" s="1">
        <v>104.0</v>
      </c>
      <c r="C11" s="1" t="s">
        <v>27</v>
      </c>
      <c r="D11" s="1" t="s">
        <v>15</v>
      </c>
      <c r="E11" s="1" t="s">
        <v>16</v>
      </c>
      <c r="F11" s="1" t="s">
        <v>22</v>
      </c>
      <c r="G11" s="1">
        <v>3498.0</v>
      </c>
      <c r="H11" s="1">
        <v>1.0</v>
      </c>
      <c r="I11" s="1">
        <v>0.0</v>
      </c>
      <c r="J11" s="1" t="s">
        <v>20</v>
      </c>
      <c r="K11" s="1" t="s">
        <v>21</v>
      </c>
      <c r="L11" s="2">
        <v>45706.0</v>
      </c>
      <c r="M11" s="2">
        <v>45734.0</v>
      </c>
      <c r="N11" s="2">
        <v>45706.0</v>
      </c>
      <c r="O11" s="3">
        <f t="shared" si="1"/>
        <v>28</v>
      </c>
    </row>
    <row r="12">
      <c r="A12" s="1">
        <v>4.0</v>
      </c>
      <c r="B12" s="1">
        <v>104.0</v>
      </c>
      <c r="C12" s="1" t="s">
        <v>27</v>
      </c>
      <c r="D12" s="1" t="s">
        <v>15</v>
      </c>
      <c r="E12" s="1" t="s">
        <v>16</v>
      </c>
      <c r="F12" s="1" t="s">
        <v>22</v>
      </c>
      <c r="G12" s="1">
        <v>3498.0</v>
      </c>
      <c r="H12" s="1">
        <v>2.0</v>
      </c>
      <c r="I12" s="1">
        <v>1.0</v>
      </c>
      <c r="J12" s="1" t="s">
        <v>18</v>
      </c>
      <c r="K12" s="1" t="s">
        <v>18</v>
      </c>
      <c r="L12" s="2">
        <v>45706.0</v>
      </c>
      <c r="M12" s="2">
        <v>45734.0</v>
      </c>
      <c r="N12" s="2">
        <v>45734.0</v>
      </c>
      <c r="O12" s="3">
        <f t="shared" si="1"/>
        <v>28</v>
      </c>
    </row>
    <row r="13">
      <c r="A13" s="4">
        <v>5.0</v>
      </c>
      <c r="B13" s="4">
        <v>105.0</v>
      </c>
      <c r="C13" s="4" t="s">
        <v>14</v>
      </c>
      <c r="D13" s="4" t="s">
        <v>15</v>
      </c>
      <c r="E13" s="4" t="s">
        <v>16</v>
      </c>
      <c r="F13" s="4" t="s">
        <v>17</v>
      </c>
      <c r="G13" s="4">
        <v>8889.0</v>
      </c>
      <c r="H13" s="4">
        <v>2.0</v>
      </c>
      <c r="I13" s="4">
        <v>1.0</v>
      </c>
      <c r="J13" s="4" t="s">
        <v>18</v>
      </c>
      <c r="K13" s="4" t="s">
        <v>18</v>
      </c>
      <c r="L13" s="5">
        <v>45243.0</v>
      </c>
      <c r="M13" s="5">
        <v>45281.0</v>
      </c>
      <c r="N13" s="5">
        <v>45281.0</v>
      </c>
      <c r="O13" s="6">
        <f t="shared" si="1"/>
        <v>38</v>
      </c>
      <c r="P13" s="6"/>
      <c r="Q13" s="6"/>
      <c r="R13" s="4" t="s">
        <v>28</v>
      </c>
      <c r="S13" s="6"/>
      <c r="T13" s="6"/>
      <c r="U13" s="6"/>
      <c r="V13" s="6"/>
      <c r="W13" s="6"/>
      <c r="X13" s="6"/>
      <c r="Y13" s="6"/>
      <c r="Z13" s="6"/>
    </row>
    <row r="14">
      <c r="A14" s="4">
        <v>5.0</v>
      </c>
      <c r="B14" s="4">
        <v>105.0</v>
      </c>
      <c r="C14" s="4" t="s">
        <v>14</v>
      </c>
      <c r="D14" s="4" t="s">
        <v>15</v>
      </c>
      <c r="E14" s="4" t="s">
        <v>16</v>
      </c>
      <c r="F14" s="4" t="s">
        <v>17</v>
      </c>
      <c r="G14" s="4">
        <v>8889.0</v>
      </c>
      <c r="H14" s="4">
        <v>1.0</v>
      </c>
      <c r="I14" s="4">
        <v>0.0</v>
      </c>
      <c r="J14" s="4" t="s">
        <v>20</v>
      </c>
      <c r="K14" s="4" t="s">
        <v>21</v>
      </c>
      <c r="L14" s="5">
        <v>45243.0</v>
      </c>
      <c r="M14" s="5">
        <v>45281.0</v>
      </c>
      <c r="N14" s="5">
        <v>45243.0</v>
      </c>
      <c r="O14" s="6">
        <f t="shared" si="1"/>
        <v>38</v>
      </c>
      <c r="P14" s="6"/>
      <c r="Q14" s="6"/>
      <c r="R14" s="4" t="s">
        <v>29</v>
      </c>
      <c r="S14" s="6"/>
      <c r="T14" s="6"/>
      <c r="U14" s="6"/>
      <c r="V14" s="6"/>
      <c r="W14" s="6"/>
      <c r="X14" s="6"/>
      <c r="Y14" s="6"/>
      <c r="Z14" s="6"/>
    </row>
    <row r="15">
      <c r="A15" s="4">
        <v>5.0</v>
      </c>
      <c r="B15" s="4">
        <v>105.0</v>
      </c>
      <c r="C15" s="4" t="s">
        <v>14</v>
      </c>
      <c r="D15" s="4" t="s">
        <v>15</v>
      </c>
      <c r="E15" s="4" t="s">
        <v>16</v>
      </c>
      <c r="F15" s="4" t="s">
        <v>17</v>
      </c>
      <c r="G15" s="4">
        <v>2024.0</v>
      </c>
      <c r="H15" s="4">
        <v>1.0</v>
      </c>
      <c r="I15" s="4">
        <v>1.0</v>
      </c>
      <c r="J15" s="4" t="s">
        <v>20</v>
      </c>
      <c r="K15" s="4" t="s">
        <v>23</v>
      </c>
      <c r="L15" s="5">
        <v>45293.0</v>
      </c>
      <c r="M15" s="5">
        <v>46389.0</v>
      </c>
      <c r="N15" s="5">
        <v>45293.0</v>
      </c>
      <c r="O15" s="6">
        <f t="shared" si="1"/>
        <v>1096</v>
      </c>
      <c r="P15" s="6"/>
      <c r="Q15" s="6"/>
      <c r="R15" s="4" t="s">
        <v>30</v>
      </c>
      <c r="S15" s="6"/>
      <c r="T15" s="6"/>
      <c r="U15" s="6"/>
      <c r="V15" s="6"/>
      <c r="W15" s="6"/>
      <c r="X15" s="6"/>
      <c r="Y15" s="6"/>
      <c r="Z15" s="6"/>
    </row>
    <row r="16">
      <c r="A16" s="4">
        <v>5.0</v>
      </c>
      <c r="B16" s="4">
        <v>105.0</v>
      </c>
      <c r="C16" s="4" t="s">
        <v>14</v>
      </c>
      <c r="D16" s="4" t="s">
        <v>15</v>
      </c>
      <c r="E16" s="4" t="s">
        <v>19</v>
      </c>
      <c r="F16" s="4" t="s">
        <v>31</v>
      </c>
      <c r="G16" s="4">
        <v>6752.0</v>
      </c>
      <c r="H16" s="4">
        <v>1.0</v>
      </c>
      <c r="I16" s="4">
        <v>0.0</v>
      </c>
      <c r="J16" s="4" t="s">
        <v>20</v>
      </c>
      <c r="K16" s="4" t="s">
        <v>23</v>
      </c>
      <c r="L16" s="5">
        <v>45305.0</v>
      </c>
      <c r="M16" s="5">
        <v>45336.0</v>
      </c>
      <c r="N16" s="5">
        <v>45305.0</v>
      </c>
      <c r="O16" s="6">
        <f t="shared" si="1"/>
        <v>31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>
        <v>5.0</v>
      </c>
      <c r="B17" s="4">
        <v>105.0</v>
      </c>
      <c r="C17" s="4" t="s">
        <v>14</v>
      </c>
      <c r="D17" s="4" t="s">
        <v>15</v>
      </c>
      <c r="E17" s="4" t="s">
        <v>19</v>
      </c>
      <c r="F17" s="4" t="s">
        <v>31</v>
      </c>
      <c r="G17" s="4">
        <v>6752.0</v>
      </c>
      <c r="H17" s="4">
        <v>2.0</v>
      </c>
      <c r="I17" s="4">
        <v>1.0</v>
      </c>
      <c r="J17" s="4" t="s">
        <v>18</v>
      </c>
      <c r="K17" s="4" t="s">
        <v>18</v>
      </c>
      <c r="L17" s="5">
        <v>45305.0</v>
      </c>
      <c r="M17" s="5">
        <v>45336.0</v>
      </c>
      <c r="N17" s="5">
        <v>45336.0</v>
      </c>
      <c r="O17" s="6">
        <f t="shared" si="1"/>
        <v>31</v>
      </c>
      <c r="P17" s="6"/>
      <c r="Q17" s="6"/>
      <c r="R17" s="4" t="s">
        <v>32</v>
      </c>
      <c r="S17" s="6"/>
      <c r="T17" s="6"/>
      <c r="U17" s="6"/>
      <c r="V17" s="6"/>
      <c r="W17" s="6"/>
      <c r="X17" s="6"/>
      <c r="Y17" s="6"/>
      <c r="Z17" s="6"/>
    </row>
    <row r="18">
      <c r="A18" s="4">
        <v>5.0</v>
      </c>
      <c r="B18" s="4">
        <v>105.0</v>
      </c>
      <c r="C18" s="4" t="s">
        <v>14</v>
      </c>
      <c r="D18" s="4" t="s">
        <v>15</v>
      </c>
      <c r="E18" s="4" t="s">
        <v>26</v>
      </c>
      <c r="F18" s="4" t="s">
        <v>17</v>
      </c>
      <c r="G18" s="4">
        <v>2390.0</v>
      </c>
      <c r="H18" s="4">
        <v>1.0</v>
      </c>
      <c r="I18" s="4">
        <v>0.0</v>
      </c>
      <c r="J18" s="4" t="s">
        <v>20</v>
      </c>
      <c r="K18" s="4" t="s">
        <v>23</v>
      </c>
      <c r="L18" s="5">
        <v>45457.0</v>
      </c>
      <c r="M18" s="5">
        <v>45549.0</v>
      </c>
      <c r="N18" s="5">
        <v>45457.0</v>
      </c>
      <c r="O18" s="6">
        <f t="shared" si="1"/>
        <v>92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>
        <v>5.0</v>
      </c>
      <c r="B19" s="4">
        <v>105.0</v>
      </c>
      <c r="C19" s="4" t="s">
        <v>14</v>
      </c>
      <c r="D19" s="4" t="s">
        <v>15</v>
      </c>
      <c r="E19" s="4" t="s">
        <v>26</v>
      </c>
      <c r="F19" s="4" t="s">
        <v>17</v>
      </c>
      <c r="G19" s="4">
        <v>2390.0</v>
      </c>
      <c r="H19" s="4">
        <v>2.0</v>
      </c>
      <c r="I19" s="4">
        <v>1.0</v>
      </c>
      <c r="J19" s="4" t="s">
        <v>18</v>
      </c>
      <c r="K19" s="4" t="s">
        <v>18</v>
      </c>
      <c r="L19" s="5">
        <v>45457.0</v>
      </c>
      <c r="M19" s="5">
        <v>45549.0</v>
      </c>
      <c r="N19" s="5">
        <v>45549.0</v>
      </c>
      <c r="O19" s="6">
        <f t="shared" si="1"/>
        <v>92</v>
      </c>
      <c r="P19" s="6"/>
      <c r="Q19" s="6"/>
      <c r="R19" s="4" t="s">
        <v>33</v>
      </c>
      <c r="S19" s="6"/>
      <c r="T19" s="6"/>
      <c r="U19" s="6"/>
      <c r="V19" s="6"/>
      <c r="W19" s="6"/>
      <c r="X19" s="6"/>
      <c r="Y19" s="6"/>
      <c r="Z19" s="6"/>
    </row>
    <row r="20">
      <c r="A20" s="4">
        <v>5.0</v>
      </c>
      <c r="B20" s="4">
        <v>105.0</v>
      </c>
      <c r="C20" s="4" t="s">
        <v>14</v>
      </c>
      <c r="D20" s="4" t="s">
        <v>15</v>
      </c>
      <c r="E20" s="4" t="s">
        <v>19</v>
      </c>
      <c r="F20" s="4" t="s">
        <v>31</v>
      </c>
      <c r="G20" s="4">
        <v>2450.0</v>
      </c>
      <c r="H20" s="4">
        <v>2.0</v>
      </c>
      <c r="I20" s="4">
        <v>1.0</v>
      </c>
      <c r="J20" s="4" t="s">
        <v>18</v>
      </c>
      <c r="K20" s="4" t="s">
        <v>18</v>
      </c>
      <c r="L20" s="5">
        <v>46017.0</v>
      </c>
      <c r="M20" s="5">
        <v>46043.0</v>
      </c>
      <c r="N20" s="5">
        <v>46043.0</v>
      </c>
      <c r="O20" s="6">
        <f t="shared" si="1"/>
        <v>26</v>
      </c>
      <c r="P20" s="6"/>
      <c r="Q20" s="6"/>
      <c r="R20" s="4" t="s">
        <v>34</v>
      </c>
      <c r="S20" s="6"/>
      <c r="T20" s="6"/>
      <c r="U20" s="6"/>
      <c r="V20" s="6"/>
      <c r="W20" s="6"/>
      <c r="X20" s="6"/>
      <c r="Y20" s="6"/>
      <c r="Z20" s="6"/>
    </row>
    <row r="21">
      <c r="A21" s="4">
        <v>5.0</v>
      </c>
      <c r="B21" s="4">
        <v>105.0</v>
      </c>
      <c r="C21" s="4" t="s">
        <v>14</v>
      </c>
      <c r="D21" s="4" t="s">
        <v>15</v>
      </c>
      <c r="E21" s="4" t="s">
        <v>19</v>
      </c>
      <c r="F21" s="4" t="s">
        <v>31</v>
      </c>
      <c r="G21" s="4">
        <v>2450.0</v>
      </c>
      <c r="H21" s="4">
        <v>1.0</v>
      </c>
      <c r="I21" s="4">
        <v>1.0</v>
      </c>
      <c r="J21" s="4" t="s">
        <v>20</v>
      </c>
      <c r="K21" s="4" t="s">
        <v>23</v>
      </c>
      <c r="L21" s="5">
        <v>46017.0</v>
      </c>
      <c r="M21" s="5">
        <v>46043.0</v>
      </c>
      <c r="N21" s="5">
        <v>46017.0</v>
      </c>
      <c r="O21" s="6">
        <f t="shared" si="1"/>
        <v>26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R22" s="1" t="s">
        <v>35</v>
      </c>
    </row>
    <row r="23">
      <c r="R23" s="1" t="s">
        <v>36</v>
      </c>
    </row>
    <row r="25">
      <c r="R25" s="1" t="s">
        <v>37</v>
      </c>
    </row>
    <row r="26">
      <c r="R26" s="1" t="s">
        <v>38</v>
      </c>
    </row>
    <row r="28">
      <c r="R28" s="1" t="s">
        <v>39</v>
      </c>
    </row>
    <row r="29">
      <c r="R29" s="1" t="s">
        <v>38</v>
      </c>
    </row>
    <row r="31">
      <c r="R31" s="1" t="s">
        <v>40</v>
      </c>
    </row>
    <row r="33">
      <c r="R33" s="1" t="s">
        <v>41</v>
      </c>
    </row>
    <row r="35">
      <c r="R35" s="1" t="s">
        <v>42</v>
      </c>
    </row>
    <row r="36">
      <c r="R36" s="1" t="s">
        <v>43</v>
      </c>
    </row>
  </sheetData>
  <autoFilter ref="$A$1:$O$21"/>
  <drawing r:id="rId1"/>
</worksheet>
</file>